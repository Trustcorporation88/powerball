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DOS\Desktop\"/>
    </mc:Choice>
  </mc:AlternateContent>
  <xr:revisionPtr revIDLastSave="0" documentId="8_{9CF783B7-C336-4C77-A747-BDD8EED25AC5}" xr6:coauthVersionLast="47" xr6:coauthVersionMax="47" xr10:uidLastSave="{00000000-0000-0000-0000-000000000000}"/>
  <bookViews>
    <workbookView xWindow="-110" yWindow="-110" windowWidth="19420" windowHeight="10300" xr2:uid="{DB01C9B9-323E-42B2-9BF6-11EA8899F8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R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Oliver</author>
  </authors>
  <commentList>
    <comment ref="A9" authorId="0" shapeId="0" xr:uid="{748C3E65-F349-426E-A709-38F5E26581FE}">
      <text>
        <r>
          <rPr>
            <b/>
            <sz val="9"/>
            <color indexed="81"/>
            <rFont val="Tahoma"/>
            <family val="2"/>
          </rPr>
          <t>Antonio Oliver:</t>
        </r>
        <r>
          <rPr>
            <sz val="9"/>
            <color indexed="81"/>
            <rFont val="Tahoma"/>
            <family val="2"/>
          </rPr>
          <t xml:space="preserve">
ISS - 2%
PIS - 1,65% (natura e avon é feita retenção)
Cofins - 7,6%
Soma - 11,25%
IR 
CSLL</t>
        </r>
      </text>
    </comment>
  </commentList>
</comments>
</file>

<file path=xl/sharedStrings.xml><?xml version="1.0" encoding="utf-8"?>
<sst xmlns="http://schemas.openxmlformats.org/spreadsheetml/2006/main" count="29" uniqueCount="29">
  <si>
    <t>RECEITA</t>
  </si>
  <si>
    <t>IMPOSTOS</t>
  </si>
  <si>
    <t>(+) RECEITA LIQUIDA</t>
  </si>
  <si>
    <t>CUSTOS DIRETOS</t>
  </si>
  <si>
    <t>OPERAÇÕES</t>
  </si>
  <si>
    <t>GROWTH</t>
  </si>
  <si>
    <t>TI</t>
  </si>
  <si>
    <t>(+) MARGEM BRUTA</t>
  </si>
  <si>
    <t>DESPESAS INDIRETAS</t>
  </si>
  <si>
    <t>COMERCIAL</t>
  </si>
  <si>
    <t>ESTRUTURA</t>
  </si>
  <si>
    <t>FINANCEIRO</t>
  </si>
  <si>
    <t>EBTIDA</t>
  </si>
  <si>
    <t>Investimentos/ECO</t>
  </si>
  <si>
    <t>Resultado após investimento</t>
  </si>
  <si>
    <t>Juros Antecipação / Juros CG</t>
  </si>
  <si>
    <t>Emprestimos</t>
  </si>
  <si>
    <t>"2025</t>
  </si>
  <si>
    <t>Fechado</t>
  </si>
  <si>
    <t>A</t>
  </si>
  <si>
    <t>Distribuição</t>
  </si>
  <si>
    <t>B</t>
  </si>
  <si>
    <t>Resultado</t>
  </si>
  <si>
    <t>S/ Distribuição</t>
  </si>
  <si>
    <t>A+B</t>
  </si>
  <si>
    <t>Ebtida ajustado</t>
  </si>
  <si>
    <t>Com distribuição</t>
  </si>
  <si>
    <t>Lucro antes do IR</t>
  </si>
  <si>
    <t>Lucro antes do IR - Acum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</si>
</sst>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3" borderId="0" xfId="0" applyFill="1"/>
    <xf numFmtId="0" fontId="4" fillId="0" borderId="0" xfId="0" applyFont="1"/>
    <xf numFmtId="164" fontId="0" fillId="0" borderId="0" xfId="0" applyNumberFormat="1"/>
    <xf numFmtId="0" fontId="0" fillId="0" borderId="1" xfId="0" applyBorder="1"/>
    <xf numFmtId="17" fontId="2" fillId="4" borderId="0" xfId="0" applyNumberFormat="1" applyFont="1" applyFill="1" applyAlignment="1">
      <alignment horizontal="center"/>
    </xf>
    <xf numFmtId="17" fontId="2" fillId="5" borderId="0" xfId="0" applyNumberFormat="1" applyFont="1" applyFill="1" applyAlignment="1">
      <alignment horizontal="center"/>
    </xf>
    <xf numFmtId="17" fontId="2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6" borderId="0" xfId="0" applyNumberForma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66675</xdr:rowOff>
    </xdr:from>
    <xdr:ext cx="2066925" cy="762000"/>
    <xdr:pic>
      <xdr:nvPicPr>
        <xdr:cNvPr id="3" name="Imagem 5">
          <a:extLst>
            <a:ext uri="{FF2B5EF4-FFF2-40B4-BE49-F238E27FC236}">
              <a16:creationId xmlns:a16="http://schemas.microsoft.com/office/drawing/2014/main" id="{064DF04D-0457-4855-9B4E-AC4879BBA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20669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D61C-B9DC-499C-9A1E-BBE1B31D51FA}">
  <dimension ref="A6:R59"/>
  <sheetViews>
    <sheetView showGridLines="0" tabSelected="1" workbookViewId="0">
      <selection activeCell="C30" sqref="C29:C30"/>
    </sheetView>
  </sheetViews>
  <sheetFormatPr defaultRowHeight="14.5" x14ac:dyDescent="0.35"/>
  <cols>
    <col min="1" max="1" width="32.453125" customWidth="1"/>
    <col min="3" max="13" width="11.54296875" customWidth="1"/>
    <col min="14" max="14" width="15.453125" customWidth="1"/>
    <col min="15" max="15" width="1.81640625" customWidth="1"/>
    <col min="16" max="16" width="15.54296875" customWidth="1"/>
    <col min="17" max="17" width="2.54296875" customWidth="1"/>
    <col min="18" max="18" width="17.453125" style="10" customWidth="1"/>
  </cols>
  <sheetData>
    <row r="6" spans="1:16" x14ac:dyDescent="0.35">
      <c r="H6" s="6"/>
      <c r="N6" s="4"/>
      <c r="P6" s="7" t="s">
        <v>17</v>
      </c>
    </row>
    <row r="7" spans="1:16" x14ac:dyDescent="0.35">
      <c r="C7" s="8">
        <v>45658</v>
      </c>
      <c r="D7" s="8">
        <v>45689</v>
      </c>
      <c r="E7" s="8">
        <v>45717</v>
      </c>
      <c r="F7" s="8">
        <v>45748</v>
      </c>
      <c r="G7" s="8">
        <v>45778</v>
      </c>
      <c r="H7" s="9">
        <v>45809</v>
      </c>
      <c r="I7" s="8">
        <v>45839</v>
      </c>
      <c r="J7" s="8">
        <v>45870</v>
      </c>
      <c r="K7" s="8">
        <v>45901</v>
      </c>
      <c r="L7" s="8">
        <v>45931</v>
      </c>
      <c r="M7" s="8">
        <v>45962</v>
      </c>
      <c r="N7" s="8">
        <v>45992</v>
      </c>
      <c r="O7" s="10"/>
      <c r="P7" s="7" t="s">
        <v>18</v>
      </c>
    </row>
    <row r="8" spans="1:16" x14ac:dyDescent="0.35">
      <c r="A8" t="s">
        <v>0</v>
      </c>
      <c r="C8" s="11">
        <v>268131.32</v>
      </c>
      <c r="D8" s="11">
        <v>246273.96</v>
      </c>
      <c r="E8" s="11">
        <v>177767.09</v>
      </c>
      <c r="F8" s="11">
        <v>303245.24</v>
      </c>
      <c r="G8" s="11">
        <v>250159.42</v>
      </c>
      <c r="H8" s="12">
        <v>245212.08000000002</v>
      </c>
      <c r="I8" s="11">
        <v>255561.42000000004</v>
      </c>
      <c r="J8" s="11">
        <v>254295.86000000002</v>
      </c>
      <c r="K8" s="11">
        <v>274509.81000000006</v>
      </c>
      <c r="L8" s="13">
        <v>306364.45000000007</v>
      </c>
      <c r="M8" s="13">
        <v>249882.75999999998</v>
      </c>
      <c r="N8" s="13">
        <v>289703.63</v>
      </c>
      <c r="O8" s="10"/>
      <c r="P8" s="11">
        <v>3121107.04</v>
      </c>
    </row>
    <row r="9" spans="1:16" x14ac:dyDescent="0.35">
      <c r="A9" t="s">
        <v>1</v>
      </c>
      <c r="C9" s="11">
        <v>-20404.237499999999</v>
      </c>
      <c r="D9" s="11">
        <v>-18041.715</v>
      </c>
      <c r="E9" s="11">
        <v>-11452.230000000001</v>
      </c>
      <c r="F9" s="11">
        <v>-25211.092500000002</v>
      </c>
      <c r="G9" s="11">
        <v>-18032.782500000001</v>
      </c>
      <c r="H9" s="12">
        <v>-18263.137500000001</v>
      </c>
      <c r="I9" s="11">
        <v>-18522.36</v>
      </c>
      <c r="J9" s="11">
        <v>-18175.185000000001</v>
      </c>
      <c r="K9" s="11">
        <v>-18477.314999999999</v>
      </c>
      <c r="L9" s="11">
        <v>-22381.424999999999</v>
      </c>
      <c r="M9" s="11">
        <v>-17409.9375</v>
      </c>
      <c r="N9" s="11">
        <v>-21075.48</v>
      </c>
      <c r="O9" s="10"/>
      <c r="P9" s="11">
        <v>-227446.89750000002</v>
      </c>
    </row>
    <row r="10" spans="1:16" x14ac:dyDescent="0.35">
      <c r="A10" s="1" t="s">
        <v>2</v>
      </c>
      <c r="C10" s="14">
        <v>247727.08250000002</v>
      </c>
      <c r="D10" s="14">
        <v>228232.245</v>
      </c>
      <c r="E10" s="14">
        <v>166314.85999999999</v>
      </c>
      <c r="F10" s="14">
        <v>278034.14749999996</v>
      </c>
      <c r="G10" s="14">
        <v>232126.63750000001</v>
      </c>
      <c r="H10" s="15">
        <v>226948.9425</v>
      </c>
      <c r="I10" s="14">
        <v>237039.06000000006</v>
      </c>
      <c r="J10" s="14">
        <v>236120.67500000002</v>
      </c>
      <c r="K10" s="14">
        <v>256032.49500000005</v>
      </c>
      <c r="L10" s="14">
        <v>283983.02500000008</v>
      </c>
      <c r="M10" s="14">
        <v>232472.82249999998</v>
      </c>
      <c r="N10" s="14">
        <v>268628.15000000002</v>
      </c>
      <c r="O10" s="10"/>
      <c r="P10" s="11">
        <v>2893660.1424999996</v>
      </c>
    </row>
    <row r="11" spans="1:16" x14ac:dyDescent="0.35">
      <c r="C11" s="11"/>
      <c r="D11" s="11"/>
      <c r="E11" s="11"/>
      <c r="F11" s="11"/>
      <c r="G11" s="11"/>
      <c r="H11" s="12"/>
      <c r="I11" s="11"/>
      <c r="J11" s="11"/>
      <c r="K11" s="11"/>
      <c r="L11" s="11"/>
      <c r="M11" s="11"/>
      <c r="N11" s="11"/>
      <c r="O11" s="10"/>
      <c r="P11" s="16"/>
    </row>
    <row r="12" spans="1:16" x14ac:dyDescent="0.35">
      <c r="A12" s="1" t="s">
        <v>3</v>
      </c>
      <c r="C12" s="14">
        <v>-167434.16500000001</v>
      </c>
      <c r="D12" s="14">
        <v>-169499.565</v>
      </c>
      <c r="E12" s="14">
        <v>-171047.24500000002</v>
      </c>
      <c r="F12" s="14">
        <v>-174475.55499999999</v>
      </c>
      <c r="G12" s="14">
        <v>-149063.745</v>
      </c>
      <c r="H12" s="15">
        <v>-162962.185</v>
      </c>
      <c r="I12" s="14">
        <v>-153897</v>
      </c>
      <c r="J12" s="14">
        <v>-138855.85499999998</v>
      </c>
      <c r="K12" s="14">
        <v>-153842.44499999998</v>
      </c>
      <c r="L12" s="14">
        <v>-142750.36499999999</v>
      </c>
      <c r="M12" s="14">
        <v>-138875.08500000002</v>
      </c>
      <c r="N12" s="14">
        <v>-220511.96000000002</v>
      </c>
      <c r="O12" s="10"/>
      <c r="P12" s="14">
        <v>-1943215.17</v>
      </c>
    </row>
    <row r="13" spans="1:16" x14ac:dyDescent="0.35">
      <c r="A13" t="s">
        <v>4</v>
      </c>
      <c r="C13" s="11">
        <v>-87770.045000000013</v>
      </c>
      <c r="D13" s="11">
        <v>-87659.10500000001</v>
      </c>
      <c r="E13" s="11">
        <v>-91846.645000000033</v>
      </c>
      <c r="F13" s="11">
        <v>-93575.074999999983</v>
      </c>
      <c r="G13" s="11">
        <v>-72998.384999999995</v>
      </c>
      <c r="H13" s="12">
        <v>-82051.804999999993</v>
      </c>
      <c r="I13" s="11">
        <v>-77706.279999999984</v>
      </c>
      <c r="J13" s="11">
        <v>-69343.994999999995</v>
      </c>
      <c r="K13" s="11">
        <v>-85035.52499999998</v>
      </c>
      <c r="L13" s="11">
        <v>-81219.374999999985</v>
      </c>
      <c r="M13" s="11">
        <v>-76270.885000000009</v>
      </c>
      <c r="N13" s="11">
        <v>-153798.64000000001</v>
      </c>
      <c r="O13" s="10"/>
      <c r="P13" s="11">
        <v>-1059275.76</v>
      </c>
    </row>
    <row r="14" spans="1:16" x14ac:dyDescent="0.35">
      <c r="A14" t="s">
        <v>5</v>
      </c>
      <c r="C14" s="11">
        <v>-10600</v>
      </c>
      <c r="D14" s="11">
        <v>-10600</v>
      </c>
      <c r="E14" s="11">
        <v>-12100</v>
      </c>
      <c r="F14" s="11">
        <v>-10600</v>
      </c>
      <c r="G14" s="11">
        <v>-12000</v>
      </c>
      <c r="H14" s="12">
        <v>-12800</v>
      </c>
      <c r="I14" s="11">
        <v>-12600</v>
      </c>
      <c r="J14" s="11">
        <v>-3600</v>
      </c>
      <c r="K14" s="11">
        <v>-3600</v>
      </c>
      <c r="L14" s="11">
        <v>-2600</v>
      </c>
      <c r="M14" s="11">
        <v>-2600</v>
      </c>
      <c r="N14" s="11">
        <v>-2800</v>
      </c>
      <c r="O14" s="10"/>
      <c r="P14" s="11">
        <v>-96500</v>
      </c>
    </row>
    <row r="15" spans="1:16" x14ac:dyDescent="0.35">
      <c r="A15" t="s">
        <v>6</v>
      </c>
      <c r="C15" s="13">
        <v>-69064.12</v>
      </c>
      <c r="D15" s="13">
        <v>-71240.459999999992</v>
      </c>
      <c r="E15" s="13">
        <v>-67100.599999999991</v>
      </c>
      <c r="F15" s="13">
        <v>-70300.479999999996</v>
      </c>
      <c r="G15" s="13">
        <v>-64065.36</v>
      </c>
      <c r="H15" s="17">
        <v>-68110.37999999999</v>
      </c>
      <c r="I15" s="13">
        <v>-63590.720000000001</v>
      </c>
      <c r="J15" s="13">
        <v>-65911.86</v>
      </c>
      <c r="K15" s="13">
        <v>-65206.92</v>
      </c>
      <c r="L15" s="13">
        <v>-58930.989999999991</v>
      </c>
      <c r="M15" s="13">
        <v>-60004.2</v>
      </c>
      <c r="N15" s="13">
        <v>-63913.32</v>
      </c>
      <c r="O15" s="18"/>
      <c r="P15" s="13">
        <v>-787439.40999999992</v>
      </c>
    </row>
    <row r="16" spans="1:16" x14ac:dyDescent="0.35">
      <c r="A16" s="2" t="s">
        <v>7</v>
      </c>
      <c r="C16" s="19">
        <v>80292.91750000001</v>
      </c>
      <c r="D16" s="19">
        <v>58732.679999999993</v>
      </c>
      <c r="E16" s="19">
        <v>-4732.3850000000384</v>
      </c>
      <c r="F16" s="19">
        <v>103558.59249999997</v>
      </c>
      <c r="G16" s="19">
        <v>83062.892500000016</v>
      </c>
      <c r="H16" s="20">
        <v>63986.757500000007</v>
      </c>
      <c r="I16" s="19">
        <v>83142.060000000056</v>
      </c>
      <c r="J16" s="19">
        <v>97264.820000000036</v>
      </c>
      <c r="K16" s="19">
        <v>102190.05000000008</v>
      </c>
      <c r="L16" s="19">
        <v>141232.66000000009</v>
      </c>
      <c r="M16" s="19">
        <v>93597.737499999959</v>
      </c>
      <c r="N16" s="19">
        <v>48116.19</v>
      </c>
      <c r="O16" s="10"/>
      <c r="P16" s="19">
        <v>950444.97250000015</v>
      </c>
    </row>
    <row r="17" spans="1:18" x14ac:dyDescent="0.35">
      <c r="C17" s="11"/>
      <c r="D17" s="11"/>
      <c r="E17" s="11"/>
      <c r="F17" s="11"/>
      <c r="G17" s="11"/>
      <c r="H17" s="12"/>
      <c r="I17" s="11"/>
      <c r="J17" s="11"/>
      <c r="K17" s="11"/>
      <c r="L17" s="11"/>
      <c r="M17" s="11"/>
      <c r="N17" s="11"/>
      <c r="O17" s="10"/>
      <c r="P17" s="11"/>
    </row>
    <row r="18" spans="1:18" x14ac:dyDescent="0.35">
      <c r="C18" s="11"/>
      <c r="D18" s="11"/>
      <c r="E18" s="11"/>
      <c r="F18" s="11"/>
      <c r="G18" s="11"/>
      <c r="H18" s="12"/>
      <c r="I18" s="11"/>
      <c r="J18" s="11"/>
      <c r="K18" s="11"/>
      <c r="L18" s="11"/>
      <c r="M18" s="11"/>
      <c r="N18" s="11"/>
      <c r="O18" s="10"/>
      <c r="P18" s="11"/>
    </row>
    <row r="19" spans="1:18" x14ac:dyDescent="0.35">
      <c r="A19" s="1" t="s">
        <v>8</v>
      </c>
      <c r="C19" s="14">
        <v>-35352.914999999986</v>
      </c>
      <c r="D19" s="14">
        <v>-37741.404999999984</v>
      </c>
      <c r="E19" s="14">
        <v>-36109.974999999984</v>
      </c>
      <c r="F19" s="14">
        <v>-34111.954999999987</v>
      </c>
      <c r="G19" s="14">
        <v>-27724.32499999999</v>
      </c>
      <c r="H19" s="15">
        <v>-34774.054999999986</v>
      </c>
      <c r="I19" s="14">
        <v>-36451.549999999988</v>
      </c>
      <c r="J19" s="14">
        <v>-28752.599999999984</v>
      </c>
      <c r="K19" s="14">
        <v>-41892.024999999987</v>
      </c>
      <c r="L19" s="14">
        <v>-31804.32499999999</v>
      </c>
      <c r="M19" s="14">
        <v>-28228.224999999988</v>
      </c>
      <c r="N19" s="14">
        <v>-230900.25999999983</v>
      </c>
      <c r="O19" s="10"/>
      <c r="P19" s="14">
        <v>-603843.61499999976</v>
      </c>
    </row>
    <row r="20" spans="1:18" x14ac:dyDescent="0.35">
      <c r="A20" t="s">
        <v>9</v>
      </c>
      <c r="C20" s="11">
        <v>-27324.915000000001</v>
      </c>
      <c r="D20" s="11">
        <v>-29695.255000000001</v>
      </c>
      <c r="E20" s="11">
        <v>-28075.375</v>
      </c>
      <c r="F20" s="11">
        <v>-26066.455000000002</v>
      </c>
      <c r="G20" s="11">
        <v>-21085.625</v>
      </c>
      <c r="H20" s="12">
        <v>-28127.105</v>
      </c>
      <c r="I20" s="11">
        <v>-29809.55</v>
      </c>
      <c r="J20" s="11">
        <v>-22110.6</v>
      </c>
      <c r="K20" s="11">
        <v>-28954.875</v>
      </c>
      <c r="L20" s="11">
        <v>-25368.875</v>
      </c>
      <c r="M20" s="11">
        <v>-21782.875</v>
      </c>
      <c r="N20" s="11">
        <v>-85422.36</v>
      </c>
      <c r="O20" s="10"/>
      <c r="P20" s="11">
        <v>-373823.86499999999</v>
      </c>
    </row>
    <row r="21" spans="1:18" x14ac:dyDescent="0.35">
      <c r="A21" t="s">
        <v>10</v>
      </c>
      <c r="C21" s="11">
        <v>-387</v>
      </c>
      <c r="D21" s="11">
        <v>-387</v>
      </c>
      <c r="E21" s="11">
        <v>-387</v>
      </c>
      <c r="F21" s="11">
        <v>-387</v>
      </c>
      <c r="G21" s="11">
        <v>0</v>
      </c>
      <c r="H21" s="12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0"/>
      <c r="P21" s="11">
        <v>-1548</v>
      </c>
    </row>
    <row r="22" spans="1:18" x14ac:dyDescent="0.35">
      <c r="A22" t="s">
        <v>11</v>
      </c>
      <c r="C22" s="11">
        <v>-7640.9999999999882</v>
      </c>
      <c r="D22" s="11">
        <v>-7659.149999999986</v>
      </c>
      <c r="E22" s="11">
        <v>-7647.5999999999849</v>
      </c>
      <c r="F22" s="11">
        <v>-7658.4999999999854</v>
      </c>
      <c r="G22" s="11">
        <v>-6638.699999999988</v>
      </c>
      <c r="H22" s="12">
        <v>-6646.9499999999871</v>
      </c>
      <c r="I22" s="11">
        <v>-6641.9999999999873</v>
      </c>
      <c r="J22" s="11">
        <v>-6641.9999999999873</v>
      </c>
      <c r="K22" s="11">
        <v>-12937.149999999989</v>
      </c>
      <c r="L22" s="11">
        <v>-6435.4499999999889</v>
      </c>
      <c r="M22" s="11">
        <v>-6445.3499999999885</v>
      </c>
      <c r="N22" s="11">
        <v>-145477.89999999985</v>
      </c>
      <c r="O22" s="10"/>
      <c r="P22" s="11">
        <v>-228471.74999999971</v>
      </c>
      <c r="R22" s="10" t="s">
        <v>25</v>
      </c>
    </row>
    <row r="23" spans="1:18" x14ac:dyDescent="0.35">
      <c r="C23" s="11"/>
      <c r="D23" s="11"/>
      <c r="E23" s="11"/>
      <c r="F23" s="11"/>
      <c r="G23" s="11"/>
      <c r="H23" s="12"/>
      <c r="I23" s="11"/>
      <c r="J23" s="11"/>
      <c r="K23" s="11"/>
      <c r="L23" s="11"/>
      <c r="M23" s="11"/>
      <c r="N23" s="11"/>
      <c r="O23" s="10"/>
      <c r="P23" s="11"/>
      <c r="R23" s="10" t="s">
        <v>26</v>
      </c>
    </row>
    <row r="24" spans="1:18" x14ac:dyDescent="0.35">
      <c r="A24" s="2" t="s">
        <v>12</v>
      </c>
      <c r="C24" s="19">
        <v>44940.002500000024</v>
      </c>
      <c r="D24" s="19">
        <v>20991.275000000009</v>
      </c>
      <c r="E24" s="19">
        <v>-40842.360000000022</v>
      </c>
      <c r="F24" s="19">
        <v>69446.637499999983</v>
      </c>
      <c r="G24" s="19">
        <v>55338.567500000026</v>
      </c>
      <c r="H24" s="20">
        <v>29212.702500000021</v>
      </c>
      <c r="I24" s="19">
        <v>46690.510000000068</v>
      </c>
      <c r="J24" s="19">
        <v>68512.220000000059</v>
      </c>
      <c r="K24" s="19">
        <v>60298.025000000089</v>
      </c>
      <c r="L24" s="19">
        <v>109428.33500000011</v>
      </c>
      <c r="M24" s="19">
        <v>65369.512499999968</v>
      </c>
      <c r="N24" s="19">
        <v>-182784.06999999983</v>
      </c>
      <c r="O24" s="10"/>
      <c r="P24" s="19">
        <v>346601.35750000051</v>
      </c>
      <c r="R24" s="19">
        <f>P24+N44</f>
        <v>596601.35750000051</v>
      </c>
    </row>
    <row r="25" spans="1:18" x14ac:dyDescent="0.35">
      <c r="C25" s="21">
        <v>0.16760445031188459</v>
      </c>
      <c r="D25" s="21">
        <v>8.5235462977896692E-2</v>
      </c>
      <c r="E25" s="21">
        <v>-0.22975208740830502</v>
      </c>
      <c r="F25" s="21">
        <v>0.22901146774801803</v>
      </c>
      <c r="G25" s="21">
        <v>0.2212132067623119</v>
      </c>
      <c r="H25" s="22">
        <v>0.11913239551656681</v>
      </c>
      <c r="I25" s="21">
        <v>0.18269780313476133</v>
      </c>
      <c r="J25" s="21">
        <v>0.26941932912317196</v>
      </c>
      <c r="K25" s="21">
        <v>0.21965708620759336</v>
      </c>
      <c r="L25" s="21">
        <v>0.35718352765799061</v>
      </c>
      <c r="M25" s="21">
        <v>0.26160073027847131</v>
      </c>
      <c r="N25" s="21">
        <v>-0.6309346900485846</v>
      </c>
      <c r="O25" s="10"/>
      <c r="P25" s="21">
        <v>0.11105077559275266</v>
      </c>
      <c r="R25" s="21">
        <f>R24/P10</f>
        <v>0.2061753378489577</v>
      </c>
    </row>
    <row r="26" spans="1:18" x14ac:dyDescent="0.35">
      <c r="C26" s="21"/>
      <c r="D26" s="21"/>
      <c r="E26" s="21"/>
      <c r="F26" s="21"/>
      <c r="G26" s="21"/>
      <c r="H26" s="22"/>
      <c r="I26" s="21"/>
      <c r="J26" s="21"/>
      <c r="K26" s="21"/>
      <c r="L26" s="21"/>
      <c r="M26" s="21"/>
      <c r="N26" s="21"/>
      <c r="O26" s="10"/>
      <c r="P26" s="21"/>
    </row>
    <row r="27" spans="1:18" x14ac:dyDescent="0.35">
      <c r="A27" s="3" t="s">
        <v>13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4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10"/>
      <c r="P27" s="23">
        <v>0</v>
      </c>
    </row>
    <row r="28" spans="1:18" x14ac:dyDescent="0.35">
      <c r="C28" s="10"/>
      <c r="D28" s="10"/>
      <c r="E28" s="10"/>
      <c r="F28" s="10"/>
      <c r="G28" s="10"/>
      <c r="H28" s="25"/>
      <c r="I28" s="10"/>
      <c r="J28" s="10"/>
      <c r="K28" s="10"/>
      <c r="L28" s="10"/>
      <c r="M28" s="10"/>
      <c r="N28" s="10"/>
      <c r="O28" s="10"/>
      <c r="P28" s="10"/>
    </row>
    <row r="29" spans="1:18" x14ac:dyDescent="0.35">
      <c r="C29" s="10"/>
      <c r="D29" s="10"/>
      <c r="E29" s="10"/>
      <c r="F29" s="10"/>
      <c r="G29" s="10"/>
      <c r="H29" s="25"/>
      <c r="I29" s="10"/>
      <c r="J29" s="10"/>
      <c r="K29" s="10"/>
      <c r="L29" s="10"/>
      <c r="M29" s="10"/>
      <c r="N29" s="10"/>
      <c r="O29" s="10"/>
      <c r="P29" s="10"/>
    </row>
    <row r="30" spans="1:18" x14ac:dyDescent="0.35">
      <c r="A30" s="2" t="s">
        <v>14</v>
      </c>
      <c r="C30" s="19">
        <v>44940.002500000024</v>
      </c>
      <c r="D30" s="19">
        <v>20991.275000000009</v>
      </c>
      <c r="E30" s="19">
        <v>-40842.360000000022</v>
      </c>
      <c r="F30" s="19">
        <v>69446.637499999983</v>
      </c>
      <c r="G30" s="19">
        <v>55338.567500000026</v>
      </c>
      <c r="H30" s="20">
        <v>29212.702500000021</v>
      </c>
      <c r="I30" s="19">
        <v>46690.510000000068</v>
      </c>
      <c r="J30" s="19">
        <v>68512.220000000059</v>
      </c>
      <c r="K30" s="19">
        <v>60298.025000000089</v>
      </c>
      <c r="L30" s="19">
        <v>109428.33500000011</v>
      </c>
      <c r="M30" s="19">
        <v>65369.512499999968</v>
      </c>
      <c r="N30" s="19">
        <v>-182784.06999999983</v>
      </c>
      <c r="O30" s="10"/>
      <c r="P30" s="19">
        <v>346601.35750000051</v>
      </c>
    </row>
    <row r="31" spans="1:18" x14ac:dyDescent="0.35">
      <c r="C31" s="10"/>
      <c r="D31" s="10"/>
      <c r="E31" s="10"/>
      <c r="F31" s="10"/>
      <c r="G31" s="10"/>
      <c r="H31" s="25"/>
      <c r="I31" s="10"/>
      <c r="J31" s="10"/>
      <c r="K31" s="10"/>
      <c r="L31" s="10"/>
      <c r="M31" s="10"/>
      <c r="N31" s="10"/>
      <c r="O31" s="10"/>
      <c r="P31" s="10"/>
    </row>
    <row r="32" spans="1:18" x14ac:dyDescent="0.35">
      <c r="C32" s="11"/>
      <c r="D32" s="11"/>
      <c r="E32" s="11"/>
      <c r="F32" s="11"/>
      <c r="G32" s="11"/>
      <c r="H32" s="12"/>
      <c r="I32" s="11"/>
      <c r="J32" s="11"/>
      <c r="K32" s="11"/>
      <c r="L32" s="11"/>
      <c r="M32" s="11"/>
      <c r="N32" s="11"/>
      <c r="O32" s="10"/>
      <c r="P32" s="11"/>
    </row>
    <row r="33" spans="1:16" x14ac:dyDescent="0.35">
      <c r="A33" s="4" t="s">
        <v>15</v>
      </c>
      <c r="C33" s="26">
        <v>-5182.6221649484542</v>
      </c>
      <c r="D33" s="26">
        <v>-2016.0272164948453</v>
      </c>
      <c r="E33" s="26">
        <v>-5510.9038144329888</v>
      </c>
      <c r="F33" s="26">
        <v>-4376.2911340206192</v>
      </c>
      <c r="G33" s="26">
        <v>-4035.1354639175252</v>
      </c>
      <c r="H33" s="12"/>
      <c r="I33" s="11"/>
      <c r="J33" s="11"/>
      <c r="K33" s="11"/>
      <c r="L33" s="11"/>
      <c r="M33" s="11"/>
      <c r="N33" s="11"/>
      <c r="O33" s="10"/>
      <c r="P33" s="11">
        <v>-21120.979793814433</v>
      </c>
    </row>
    <row r="34" spans="1:16" x14ac:dyDescent="0.35">
      <c r="A34" s="4" t="s">
        <v>16</v>
      </c>
      <c r="C34" s="11">
        <v>-6972.35</v>
      </c>
      <c r="D34" s="11">
        <v>-6972.35</v>
      </c>
      <c r="E34" s="11">
        <v>-6972.35</v>
      </c>
      <c r="F34" s="11">
        <v>-6972.35</v>
      </c>
      <c r="G34" s="11">
        <v>-6972.35</v>
      </c>
      <c r="H34" s="12">
        <v>-6972.35</v>
      </c>
      <c r="I34" s="11">
        <v>-6972.35</v>
      </c>
      <c r="J34" s="11">
        <v>-6972.35</v>
      </c>
      <c r="K34" s="11">
        <v>-6972.35</v>
      </c>
      <c r="L34" s="11">
        <v>-6972.35</v>
      </c>
      <c r="M34" s="11">
        <v>-6972.35</v>
      </c>
      <c r="N34" s="11">
        <v>-6972.35</v>
      </c>
      <c r="O34" s="10"/>
      <c r="P34" s="11">
        <v>-83668.200000000012</v>
      </c>
    </row>
    <row r="35" spans="1:16" x14ac:dyDescent="0.35">
      <c r="A35" s="4"/>
      <c r="C35" s="10"/>
      <c r="D35" s="10"/>
      <c r="E35" s="10"/>
      <c r="F35" s="10"/>
      <c r="G35" s="10"/>
      <c r="H35" s="25"/>
      <c r="I35" s="10"/>
      <c r="J35" s="10"/>
      <c r="K35" s="10"/>
      <c r="L35" s="10"/>
      <c r="M35" s="10"/>
      <c r="N35" s="10"/>
      <c r="O35" s="10"/>
      <c r="P35" s="10"/>
    </row>
    <row r="36" spans="1:16" x14ac:dyDescent="0.35">
      <c r="C36" s="10"/>
      <c r="D36" s="10"/>
      <c r="E36" s="10"/>
      <c r="F36" s="10"/>
      <c r="G36" s="10"/>
      <c r="H36" s="25"/>
      <c r="I36" s="10"/>
      <c r="J36" s="10"/>
      <c r="K36" s="10"/>
      <c r="L36" s="10"/>
      <c r="M36" s="10"/>
      <c r="N36" s="10"/>
      <c r="O36" s="10"/>
      <c r="P36" s="10"/>
    </row>
    <row r="37" spans="1:16" x14ac:dyDescent="0.35">
      <c r="A37" s="2" t="s">
        <v>27</v>
      </c>
      <c r="C37" s="19">
        <v>37967.652500000026</v>
      </c>
      <c r="D37" s="19">
        <v>14018.925000000008</v>
      </c>
      <c r="E37" s="19">
        <v>-47814.710000000021</v>
      </c>
      <c r="F37" s="19">
        <v>62474.287499999984</v>
      </c>
      <c r="G37" s="19">
        <v>44331.082036082502</v>
      </c>
      <c r="H37" s="20">
        <v>22240.352500000023</v>
      </c>
      <c r="I37" s="19">
        <v>39718.160000000069</v>
      </c>
      <c r="J37" s="19">
        <v>61539.870000000061</v>
      </c>
      <c r="K37" s="19">
        <v>53325.67500000009</v>
      </c>
      <c r="L37" s="19">
        <v>102455.9850000001</v>
      </c>
      <c r="M37" s="19">
        <v>58397.162499999969</v>
      </c>
      <c r="N37" s="19">
        <v>-189756.41999999984</v>
      </c>
      <c r="O37" s="10"/>
      <c r="P37" s="19">
        <v>258898.02203608296</v>
      </c>
    </row>
    <row r="38" spans="1:16" x14ac:dyDescent="0.35">
      <c r="C38" s="10"/>
      <c r="D38" s="10"/>
      <c r="E38" s="10"/>
      <c r="F38" s="10"/>
      <c r="G38" s="10"/>
      <c r="H38" s="25"/>
      <c r="I38" s="10"/>
      <c r="J38" s="10"/>
      <c r="K38" s="10"/>
      <c r="L38" s="10"/>
      <c r="M38" s="10"/>
      <c r="N38" s="10"/>
    </row>
    <row r="39" spans="1:16" x14ac:dyDescent="0.35">
      <c r="C39" s="10"/>
      <c r="D39" s="10"/>
      <c r="E39" s="10"/>
      <c r="F39" s="10"/>
      <c r="G39" s="10"/>
      <c r="H39" s="25"/>
      <c r="I39" s="10"/>
      <c r="J39" s="10"/>
      <c r="K39" s="10"/>
      <c r="L39" s="10"/>
      <c r="M39" s="10"/>
      <c r="N39" s="10"/>
    </row>
    <row r="40" spans="1:16" x14ac:dyDescent="0.35">
      <c r="A40" s="2" t="s">
        <v>28</v>
      </c>
      <c r="C40" s="19">
        <v>37967.652500000026</v>
      </c>
      <c r="D40" s="19">
        <v>51986.577500000036</v>
      </c>
      <c r="E40" s="19">
        <v>4171.8675000000148</v>
      </c>
      <c r="F40" s="19">
        <v>66646.154999999999</v>
      </c>
      <c r="G40" s="19">
        <v>110977.2370360825</v>
      </c>
      <c r="H40" s="20">
        <v>133217.58953608252</v>
      </c>
      <c r="I40" s="19">
        <v>172935.74953608259</v>
      </c>
      <c r="J40" s="19">
        <v>234475.61953608264</v>
      </c>
      <c r="K40" s="19">
        <v>287801.29453608271</v>
      </c>
      <c r="L40" s="19">
        <v>390257.27953608282</v>
      </c>
      <c r="M40" s="19">
        <v>448654.44203608279</v>
      </c>
      <c r="N40" s="19">
        <v>258898.02203608296</v>
      </c>
      <c r="O40" s="4" t="s">
        <v>19</v>
      </c>
      <c r="P40" s="5"/>
    </row>
    <row r="41" spans="1:16" x14ac:dyDescent="0.35">
      <c r="C41" s="10"/>
      <c r="D41" s="10"/>
      <c r="E41" s="10"/>
      <c r="F41" s="10"/>
      <c r="G41" s="10"/>
      <c r="H41" s="25"/>
      <c r="I41" s="10"/>
      <c r="J41" s="10"/>
      <c r="K41" s="10"/>
      <c r="L41" s="10"/>
      <c r="M41" s="10"/>
      <c r="N41" s="10"/>
      <c r="P41" s="5"/>
    </row>
    <row r="42" spans="1:16" x14ac:dyDescent="0.35">
      <c r="A42" s="5"/>
      <c r="C42" s="11"/>
      <c r="D42" s="11"/>
      <c r="E42" s="11"/>
      <c r="F42" s="11"/>
      <c r="G42" s="11"/>
      <c r="H42" s="12"/>
      <c r="I42" s="11"/>
      <c r="J42" s="11"/>
      <c r="K42" s="11"/>
      <c r="L42" s="11"/>
      <c r="M42" s="11"/>
      <c r="N42" s="19" t="s">
        <v>20</v>
      </c>
      <c r="P42" s="5"/>
    </row>
    <row r="43" spans="1:16" x14ac:dyDescent="0.35">
      <c r="A43" s="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9">
        <v>2025</v>
      </c>
      <c r="P43" s="5"/>
    </row>
    <row r="44" spans="1:16" x14ac:dyDescent="0.35">
      <c r="A44" s="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>
        <v>250000</v>
      </c>
      <c r="O44" s="4" t="s">
        <v>21</v>
      </c>
      <c r="P44" s="5"/>
    </row>
    <row r="45" spans="1:16" x14ac:dyDescent="0.35">
      <c r="A45" s="5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P45" s="5"/>
    </row>
    <row r="46" spans="1:16" x14ac:dyDescent="0.35">
      <c r="A46" s="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9" t="s">
        <v>22</v>
      </c>
      <c r="P46" s="5"/>
    </row>
    <row r="47" spans="1:16" x14ac:dyDescent="0.35">
      <c r="A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19" t="s">
        <v>23</v>
      </c>
      <c r="P47" s="5"/>
    </row>
    <row r="48" spans="1:16" x14ac:dyDescent="0.35">
      <c r="A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11">
        <v>508898.02203608293</v>
      </c>
      <c r="P48" s="5"/>
    </row>
    <row r="49" spans="1:16" x14ac:dyDescent="0.35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13" t="s">
        <v>24</v>
      </c>
      <c r="P49" s="5"/>
    </row>
    <row r="50" spans="1:16" x14ac:dyDescent="0.35">
      <c r="A50" s="5"/>
      <c r="C50" s="11">
        <v>-3446.049</v>
      </c>
      <c r="D50" s="11">
        <v>-3047.0451999999996</v>
      </c>
      <c r="E50" s="11">
        <v>-3054.8503999999998</v>
      </c>
      <c r="F50" s="11">
        <v>-3137.1774</v>
      </c>
      <c r="G50" s="5"/>
      <c r="H50" s="5"/>
      <c r="I50" s="5"/>
      <c r="J50" s="5"/>
      <c r="K50" s="5"/>
      <c r="L50" s="5"/>
      <c r="M50" s="5"/>
      <c r="N50" s="5"/>
      <c r="P50" s="5"/>
    </row>
    <row r="51" spans="1:16" x14ac:dyDescent="0.35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P51" s="5"/>
    </row>
    <row r="53" spans="1:16" x14ac:dyDescent="0.35">
      <c r="A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P53" s="5"/>
    </row>
    <row r="55" spans="1:16" x14ac:dyDescent="0.35">
      <c r="A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P55" s="5"/>
    </row>
    <row r="57" spans="1:16" x14ac:dyDescent="0.35">
      <c r="A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P57" s="5"/>
    </row>
    <row r="59" spans="1:16" x14ac:dyDescent="0.35">
      <c r="A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P59" s="5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Oliver</dc:creator>
  <cp:lastModifiedBy>FLAVIO RINALDI</cp:lastModifiedBy>
  <dcterms:created xsi:type="dcterms:W3CDTF">2026-01-14T13:57:32Z</dcterms:created>
  <dcterms:modified xsi:type="dcterms:W3CDTF">2026-05-03T14:05:00Z</dcterms:modified>
</cp:coreProperties>
</file>